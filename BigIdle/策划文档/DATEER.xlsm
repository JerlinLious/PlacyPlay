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3995" windowHeight="7380"/>
  </bookViews>
  <sheets>
    <sheet name="分流" sheetId="2" r:id="rId1"/>
    <sheet name="建造" sheetId="4" r:id="rId2"/>
    <sheet name="制作" sheetId="3" r:id="rId3"/>
    <sheet name="收藏" sheetId="5" r:id="rId4"/>
    <sheet name="灵魂" sheetId="6" r:id="rId5"/>
    <sheet name="Sheet1" sheetId="1" r:id="rId6"/>
  </sheets>
  <calcPr calcId="125725"/>
</workbook>
</file>

<file path=xl/calcChain.xml><?xml version="1.0" encoding="utf-8"?>
<calcChain xmlns="http://schemas.openxmlformats.org/spreadsheetml/2006/main">
  <c r="C14" i="2"/>
  <c r="C30"/>
  <c r="C28"/>
  <c r="C27"/>
  <c r="C20"/>
  <c r="B10"/>
  <c r="C24"/>
  <c r="C35" s="1"/>
  <c r="C23"/>
  <c r="C22"/>
  <c r="C34" s="1"/>
  <c r="C21"/>
  <c r="C33" s="1"/>
  <c r="C19"/>
  <c r="C18"/>
  <c r="C31" s="1"/>
  <c r="C17"/>
  <c r="C16"/>
  <c r="C15"/>
  <c r="C29" s="1"/>
  <c r="C13"/>
  <c r="C12"/>
  <c r="C32" l="1"/>
</calcChain>
</file>

<file path=xl/sharedStrings.xml><?xml version="1.0" encoding="utf-8"?>
<sst xmlns="http://schemas.openxmlformats.org/spreadsheetml/2006/main" count="172" uniqueCount="128">
  <si>
    <t>速率</t>
    <phoneticPr fontId="1" type="noConversion"/>
  </si>
  <si>
    <t>木材/人</t>
    <phoneticPr fontId="1" type="noConversion"/>
  </si>
  <si>
    <t>石材/人</t>
    <phoneticPr fontId="1" type="noConversion"/>
  </si>
  <si>
    <t>铁</t>
    <phoneticPr fontId="1" type="noConversion"/>
  </si>
  <si>
    <t>铁锭</t>
    <phoneticPr fontId="1" type="noConversion"/>
  </si>
  <si>
    <t>金币</t>
    <phoneticPr fontId="1" type="noConversion"/>
  </si>
  <si>
    <t>小麦</t>
    <phoneticPr fontId="1" type="noConversion"/>
  </si>
  <si>
    <t>羊毛</t>
    <phoneticPr fontId="1" type="noConversion"/>
  </si>
  <si>
    <t>面包</t>
    <phoneticPr fontId="1" type="noConversion"/>
  </si>
  <si>
    <t>伐木</t>
  </si>
  <si>
    <t>采石</t>
  </si>
  <si>
    <t>炼铁</t>
  </si>
  <si>
    <t>炼金</t>
  </si>
  <si>
    <t>种植</t>
  </si>
  <si>
    <t>放牧</t>
  </si>
  <si>
    <t>烘培</t>
  </si>
  <si>
    <t>熔炉</t>
  </si>
  <si>
    <t>农田</t>
  </si>
  <si>
    <t>牧场</t>
  </si>
  <si>
    <t>磨坊</t>
  </si>
  <si>
    <t>生产</t>
    <phoneticPr fontId="1" type="noConversion"/>
  </si>
  <si>
    <t>消耗</t>
    <phoneticPr fontId="1" type="noConversion"/>
  </si>
  <si>
    <t>等级0</t>
  </si>
  <si>
    <t>等级1</t>
  </si>
  <si>
    <t>等级2</t>
  </si>
  <si>
    <t>等级3</t>
  </si>
  <si>
    <t>等级4</t>
  </si>
  <si>
    <t>等级5</t>
  </si>
  <si>
    <t>+5木材/人</t>
  </si>
  <si>
    <t>+7木材/人</t>
  </si>
  <si>
    <t>+8木材/人</t>
  </si>
  <si>
    <t>+9木材/人</t>
  </si>
  <si>
    <t>+10木材/人</t>
  </si>
  <si>
    <t>+5石材/人</t>
  </si>
  <si>
    <t>+7石材，+1铁矿/人</t>
  </si>
  <si>
    <t>+8石材，+2铁矿/人</t>
  </si>
  <si>
    <t>+9石材，+2铁矿/人</t>
  </si>
  <si>
    <t>+10石材，+3铁矿/人</t>
  </si>
  <si>
    <t>-2铁矿，+2铁锭/人</t>
  </si>
  <si>
    <t>-3铁矿，+3铁锭/人</t>
  </si>
  <si>
    <t>-1石材，+30金币/人</t>
  </si>
  <si>
    <t>-1石材，+40金币/人</t>
  </si>
  <si>
    <t>-1石材，+50金币/人</t>
  </si>
  <si>
    <t>+2小麦/人</t>
  </si>
  <si>
    <t>+3小麦/人</t>
  </si>
  <si>
    <t>+4小麦/人</t>
  </si>
  <si>
    <t>+5小麦/人</t>
  </si>
  <si>
    <t>-1小麦，+1面包/人</t>
  </si>
  <si>
    <t>-1小麦，+2面包/人</t>
  </si>
  <si>
    <t>人数</t>
    <phoneticPr fontId="1" type="noConversion"/>
  </si>
  <si>
    <t>解锁方式</t>
  </si>
  <si>
    <t>天赋</t>
  </si>
  <si>
    <t>作用</t>
  </si>
  <si>
    <t>灵魂芽床</t>
    <phoneticPr fontId="3" type="noConversion"/>
  </si>
  <si>
    <t>增加灵魂工匠（工人 上限20）</t>
    <phoneticPr fontId="3" type="noConversion"/>
  </si>
  <si>
    <t>灵魂胚芽</t>
    <phoneticPr fontId="3" type="noConversion"/>
  </si>
  <si>
    <t>灵魂胚芽</t>
  </si>
  <si>
    <t>200石材</t>
  </si>
  <si>
    <t>500石材</t>
  </si>
  <si>
    <t>1000石材</t>
  </si>
  <si>
    <t>100木材，100石材</t>
  </si>
  <si>
    <t>250木材，250石材</t>
  </si>
  <si>
    <t>500木材，500石材</t>
  </si>
  <si>
    <t>1000木材，1000石材</t>
  </si>
  <si>
    <t>2000木材，2000石材</t>
  </si>
  <si>
    <t>200木材，100石材</t>
  </si>
  <si>
    <t>500木材，250石材</t>
  </si>
  <si>
    <t>100木材，200石材</t>
  </si>
  <si>
    <t>250木材，500石材</t>
  </si>
  <si>
    <t>500木材，1000石材</t>
  </si>
  <si>
    <t>伐木场</t>
  </si>
  <si>
    <t>采石场</t>
  </si>
  <si>
    <t>天赋解锁</t>
    <phoneticPr fontId="1" type="noConversion"/>
  </si>
  <si>
    <t>数量</t>
    <phoneticPr fontId="1" type="noConversion"/>
  </si>
  <si>
    <t>等级</t>
    <phoneticPr fontId="1" type="noConversion"/>
  </si>
  <si>
    <t>工作台</t>
  </si>
  <si>
    <t>允许制作物品</t>
  </si>
  <si>
    <t>80木材</t>
  </si>
  <si>
    <t>工匠工作台</t>
  </si>
  <si>
    <t>50铁锭，10皮革，200木材，200石材</t>
  </si>
  <si>
    <t>传奇工作台</t>
  </si>
  <si>
    <t>200铁锭，50皮革，2龙鳞，300金币</t>
  </si>
  <si>
    <t>铁毡</t>
  </si>
  <si>
    <t>允许制作武器铠甲</t>
  </si>
  <si>
    <t>20铁锭，1皮革</t>
  </si>
  <si>
    <t>传奇铁毡</t>
  </si>
  <si>
    <t>纺织台</t>
  </si>
  <si>
    <t>允许制作布甲</t>
  </si>
  <si>
    <t>200木材，1铁锭</t>
  </si>
  <si>
    <t>天衣纺织台</t>
  </si>
  <si>
    <t>允许制作传奇布甲</t>
  </si>
  <si>
    <t>英魂祭坛</t>
  </si>
  <si>
    <t>召唤英魂</t>
  </si>
  <si>
    <t>等级</t>
    <phoneticPr fontId="1" type="noConversion"/>
  </si>
  <si>
    <t>资源汇总</t>
    <phoneticPr fontId="1" type="noConversion"/>
  </si>
  <si>
    <t>+6木材/人</t>
    <phoneticPr fontId="1" type="noConversion"/>
  </si>
  <si>
    <t>木材</t>
    <phoneticPr fontId="1" type="noConversion"/>
  </si>
  <si>
    <t>+6石材，+1铁矿/人</t>
    <phoneticPr fontId="1" type="noConversion"/>
  </si>
  <si>
    <t>石材</t>
    <phoneticPr fontId="1" type="noConversion"/>
  </si>
  <si>
    <t>铁矿</t>
    <phoneticPr fontId="1" type="noConversion"/>
  </si>
  <si>
    <t>-1铁矿，+1铁锭/人</t>
    <phoneticPr fontId="1" type="noConversion"/>
  </si>
  <si>
    <t>铁锭</t>
    <phoneticPr fontId="1" type="noConversion"/>
  </si>
  <si>
    <t>-1石材，+10金币/人</t>
    <phoneticPr fontId="1" type="noConversion"/>
  </si>
  <si>
    <t>金币</t>
    <phoneticPr fontId="1" type="noConversion"/>
  </si>
  <si>
    <t>+1小麦/人</t>
    <phoneticPr fontId="1" type="noConversion"/>
  </si>
  <si>
    <t>小麦</t>
    <phoneticPr fontId="1" type="noConversion"/>
  </si>
  <si>
    <t>-1小麦，+1羊毛/人</t>
    <phoneticPr fontId="1" type="noConversion"/>
  </si>
  <si>
    <t>羊毛</t>
    <phoneticPr fontId="1" type="noConversion"/>
  </si>
  <si>
    <t>-2小麦，+1面包/人</t>
    <phoneticPr fontId="1" type="noConversion"/>
  </si>
  <si>
    <t>面包</t>
    <phoneticPr fontId="1" type="noConversion"/>
  </si>
  <si>
    <t>-1石材，+20金币/人</t>
    <phoneticPr fontId="1" type="noConversion"/>
  </si>
  <si>
    <t>-1小麦，+1羊毛，+1皮革/人</t>
    <phoneticPr fontId="1" type="noConversion"/>
  </si>
  <si>
    <t>皮革</t>
    <phoneticPr fontId="1" type="noConversion"/>
  </si>
  <si>
    <t>TOTAL</t>
    <phoneticPr fontId="1" type="noConversion"/>
  </si>
  <si>
    <t>当前数值</t>
    <phoneticPr fontId="1" type="noConversion"/>
  </si>
  <si>
    <t>总计：</t>
    <phoneticPr fontId="1" type="noConversion"/>
  </si>
  <si>
    <t>增长率</t>
    <phoneticPr fontId="1" type="noConversion"/>
  </si>
  <si>
    <t>获得方式</t>
  </si>
  <si>
    <t>伐木精通</t>
  </si>
  <si>
    <t>升级伐木效果，能升级5次</t>
  </si>
  <si>
    <t>采集100、200、300、400、500木头时升级</t>
  </si>
  <si>
    <t>采石精通</t>
  </si>
  <si>
    <t>升级采石效果，能升级5次</t>
  </si>
  <si>
    <t>采集100、200、300、400、500石头时升级</t>
  </si>
  <si>
    <t>允许炼金</t>
  </si>
  <si>
    <t>任务</t>
  </si>
  <si>
    <t>小麦</t>
    <phoneticPr fontId="1" type="noConversion"/>
  </si>
  <si>
    <t>面包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</si>
</sst>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2:J35"/>
  <sheetViews>
    <sheetView tabSelected="1" workbookViewId="0">
      <selection activeCell="E15" sqref="E15"/>
    </sheetView>
  </sheetViews>
  <sheetFormatPr defaultRowHeight="13.5"/>
  <cols>
    <col min="4" max="4" width="13.875" customWidth="1"/>
    <col min="5" max="5" width="21" customWidth="1"/>
    <col min="6" max="6" width="24.75" customWidth="1"/>
    <col min="7" max="7" width="20.875" customWidth="1"/>
    <col min="8" max="8" width="21.625" customWidth="1"/>
    <col min="9" max="9" width="21.375" customWidth="1"/>
  </cols>
  <sheetData>
    <row r="2" spans="1:10">
      <c r="B2" t="s">
        <v>49</v>
      </c>
      <c r="C2" t="s">
        <v>93</v>
      </c>
      <c r="D2" s="4" t="s">
        <v>22</v>
      </c>
      <c r="E2" s="4" t="s">
        <v>23</v>
      </c>
      <c r="F2" s="4" t="s">
        <v>24</v>
      </c>
      <c r="G2" s="4" t="s">
        <v>25</v>
      </c>
      <c r="H2" s="4" t="s">
        <v>26</v>
      </c>
      <c r="I2" s="4" t="s">
        <v>27</v>
      </c>
      <c r="J2" t="s">
        <v>50</v>
      </c>
    </row>
    <row r="3" spans="1:10">
      <c r="A3" t="s">
        <v>9</v>
      </c>
      <c r="B3" s="11">
        <v>1</v>
      </c>
      <c r="C3" s="12">
        <v>0</v>
      </c>
      <c r="D3" s="5" t="s">
        <v>28</v>
      </c>
      <c r="E3" s="5" t="s">
        <v>95</v>
      </c>
      <c r="F3" s="5" t="s">
        <v>29</v>
      </c>
      <c r="G3" s="5" t="s">
        <v>30</v>
      </c>
      <c r="H3" s="5" t="s">
        <v>31</v>
      </c>
      <c r="I3" s="5" t="s">
        <v>32</v>
      </c>
    </row>
    <row r="4" spans="1:10">
      <c r="A4" t="s">
        <v>10</v>
      </c>
      <c r="B4" s="11">
        <v>1</v>
      </c>
      <c r="C4" s="12">
        <v>0</v>
      </c>
      <c r="D4" s="5" t="s">
        <v>33</v>
      </c>
      <c r="E4" s="5" t="s">
        <v>97</v>
      </c>
      <c r="F4" s="5" t="s">
        <v>34</v>
      </c>
      <c r="G4" s="5" t="s">
        <v>35</v>
      </c>
      <c r="H4" s="5" t="s">
        <v>36</v>
      </c>
      <c r="I4" s="5" t="s">
        <v>37</v>
      </c>
    </row>
    <row r="5" spans="1:10">
      <c r="A5" t="s">
        <v>11</v>
      </c>
      <c r="B5" s="11">
        <v>0</v>
      </c>
      <c r="C5" s="12">
        <v>0</v>
      </c>
      <c r="D5" s="4"/>
      <c r="E5" s="5" t="s">
        <v>100</v>
      </c>
      <c r="F5" s="5" t="s">
        <v>38</v>
      </c>
      <c r="G5" s="5" t="s">
        <v>39</v>
      </c>
      <c r="H5" s="4"/>
      <c r="I5" s="4"/>
      <c r="J5" t="s">
        <v>16</v>
      </c>
    </row>
    <row r="6" spans="1:10">
      <c r="A6" t="s">
        <v>12</v>
      </c>
      <c r="B6" s="11">
        <v>0</v>
      </c>
      <c r="C6" s="12">
        <v>0</v>
      </c>
      <c r="D6" s="4"/>
      <c r="E6" s="5" t="s">
        <v>102</v>
      </c>
      <c r="F6" s="5" t="s">
        <v>110</v>
      </c>
      <c r="G6" s="5" t="s">
        <v>40</v>
      </c>
      <c r="H6" s="5" t="s">
        <v>41</v>
      </c>
      <c r="I6" s="5" t="s">
        <v>42</v>
      </c>
      <c r="J6" t="s">
        <v>51</v>
      </c>
    </row>
    <row r="7" spans="1:10">
      <c r="A7" t="s">
        <v>13</v>
      </c>
      <c r="B7" s="11">
        <v>0</v>
      </c>
      <c r="C7" s="12">
        <v>0</v>
      </c>
      <c r="D7" s="4"/>
      <c r="E7" s="5" t="s">
        <v>104</v>
      </c>
      <c r="F7" s="5" t="s">
        <v>43</v>
      </c>
      <c r="G7" s="5" t="s">
        <v>44</v>
      </c>
      <c r="H7" s="5" t="s">
        <v>45</v>
      </c>
      <c r="I7" s="5" t="s">
        <v>46</v>
      </c>
      <c r="J7" t="s">
        <v>17</v>
      </c>
    </row>
    <row r="8" spans="1:10">
      <c r="A8" t="s">
        <v>14</v>
      </c>
      <c r="B8" s="11">
        <v>0</v>
      </c>
      <c r="C8" s="12">
        <v>0</v>
      </c>
      <c r="D8" s="4"/>
      <c r="E8" s="5" t="s">
        <v>106</v>
      </c>
      <c r="F8" s="5" t="s">
        <v>111</v>
      </c>
      <c r="G8" s="4"/>
      <c r="H8" s="4"/>
      <c r="I8" s="4"/>
      <c r="J8" t="s">
        <v>18</v>
      </c>
    </row>
    <row r="9" spans="1:10">
      <c r="A9" t="s">
        <v>15</v>
      </c>
      <c r="B9" s="11">
        <v>0</v>
      </c>
      <c r="C9" s="12">
        <v>0</v>
      </c>
      <c r="D9" s="4"/>
      <c r="E9" s="5" t="s">
        <v>108</v>
      </c>
      <c r="F9" s="5" t="s">
        <v>47</v>
      </c>
      <c r="G9" s="5" t="s">
        <v>48</v>
      </c>
      <c r="H9" s="4"/>
      <c r="I9" s="4"/>
      <c r="J9" t="s">
        <v>19</v>
      </c>
    </row>
    <row r="10" spans="1:10">
      <c r="A10" t="s">
        <v>115</v>
      </c>
      <c r="B10">
        <f>B9+B8+B7+B6+B5+B4+B3</f>
        <v>2</v>
      </c>
      <c r="D10" s="1"/>
      <c r="E10" s="1"/>
    </row>
    <row r="11" spans="1:10">
      <c r="C11" t="s">
        <v>114</v>
      </c>
      <c r="D11" s="1"/>
      <c r="E11" s="1"/>
    </row>
    <row r="12" spans="1:10">
      <c r="A12" t="s">
        <v>9</v>
      </c>
      <c r="C12">
        <f>IF(C3=0,5,IF(C3=1,E12,IF(C3=2,F12,IF(C3=3,G12,IF(C3=4,H12,I12)))))</f>
        <v>5</v>
      </c>
      <c r="D12" t="s">
        <v>96</v>
      </c>
      <c r="E12">
        <v>6</v>
      </c>
      <c r="F12">
        <v>7</v>
      </c>
      <c r="G12">
        <v>8</v>
      </c>
      <c r="H12">
        <v>9</v>
      </c>
      <c r="I12">
        <v>10</v>
      </c>
    </row>
    <row r="13" spans="1:10">
      <c r="A13" s="13" t="s">
        <v>10</v>
      </c>
      <c r="C13">
        <f>IF(C4=0,5,IF(C4=1,E13,IF(C4=2,F13,IF(C4=3,G13,IF(C4=4,H13,I13)))))</f>
        <v>5</v>
      </c>
      <c r="D13" t="s">
        <v>98</v>
      </c>
      <c r="E13">
        <v>6</v>
      </c>
      <c r="F13">
        <v>7</v>
      </c>
      <c r="G13">
        <v>8</v>
      </c>
      <c r="H13">
        <v>9</v>
      </c>
      <c r="I13">
        <v>10</v>
      </c>
    </row>
    <row r="14" spans="1:10">
      <c r="A14" s="13"/>
      <c r="C14">
        <f>IF(C4=0,0,IF(C4=1,E14,IF(C4=2,F14,IF(C4=3,G14,IF(C4=4,H14,I14)))))</f>
        <v>0</v>
      </c>
      <c r="D14" t="s">
        <v>99</v>
      </c>
      <c r="E14">
        <v>1</v>
      </c>
      <c r="F14">
        <v>1</v>
      </c>
      <c r="G14">
        <v>2</v>
      </c>
      <c r="H14">
        <v>2</v>
      </c>
      <c r="I14">
        <v>3</v>
      </c>
    </row>
    <row r="15" spans="1:10">
      <c r="A15" s="13" t="s">
        <v>11</v>
      </c>
      <c r="C15">
        <f>IF(C5=0,0,IF(C5=1,E15,IF(C5=2,F15,IF(C5=3,G15,IF(C5=4,H15,I15)))))</f>
        <v>0</v>
      </c>
      <c r="D15" t="s">
        <v>99</v>
      </c>
      <c r="E15">
        <v>-1</v>
      </c>
      <c r="F15">
        <v>-2</v>
      </c>
      <c r="G15">
        <v>-3</v>
      </c>
    </row>
    <row r="16" spans="1:10">
      <c r="A16" s="13"/>
      <c r="C16">
        <f>IF(C5=0,0,IF(C5=1,E16,IF(C5=2,F16,IF(C5=3,G16,IF(C5=4,H16,I16)))))</f>
        <v>0</v>
      </c>
      <c r="D16" t="s">
        <v>101</v>
      </c>
      <c r="E16">
        <v>1</v>
      </c>
      <c r="F16">
        <v>2</v>
      </c>
      <c r="G16">
        <v>3</v>
      </c>
    </row>
    <row r="17" spans="1:9">
      <c r="A17" s="13" t="s">
        <v>12</v>
      </c>
      <c r="C17">
        <f>IF(C6=0,0,IF(C6=1,E17,IF(C6=2,F17,IF(C6=3,G17,IF(C6=4,H17,I17)))))</f>
        <v>0</v>
      </c>
      <c r="D17" t="s">
        <v>98</v>
      </c>
      <c r="E17">
        <v>-1</v>
      </c>
      <c r="F17">
        <v>-1</v>
      </c>
      <c r="G17">
        <v>-1</v>
      </c>
      <c r="H17">
        <v>-1</v>
      </c>
      <c r="I17">
        <v>-1</v>
      </c>
    </row>
    <row r="18" spans="1:9">
      <c r="A18" s="13"/>
      <c r="C18">
        <f>IF(C6=0,0,IF(C6=1,E18,IF(C6=2,F18,IF(C6=3,G18,IF(C6=4,H18,I18)))))</f>
        <v>0</v>
      </c>
      <c r="D18" t="s">
        <v>103</v>
      </c>
      <c r="E18">
        <v>10</v>
      </c>
      <c r="F18">
        <v>20</v>
      </c>
      <c r="G18">
        <v>30</v>
      </c>
      <c r="H18">
        <v>40</v>
      </c>
      <c r="I18">
        <v>50</v>
      </c>
    </row>
    <row r="19" spans="1:9">
      <c r="A19" t="s">
        <v>13</v>
      </c>
      <c r="C19">
        <f>IF(C7=0,0,IF(C7=1,E19,IF(C7=2,F19,IF(C7=3,G19,IF(C7=4,H19,I19)))))</f>
        <v>0</v>
      </c>
      <c r="D19" t="s">
        <v>105</v>
      </c>
      <c r="E19">
        <v>1</v>
      </c>
      <c r="F19">
        <v>2</v>
      </c>
      <c r="G19">
        <v>3</v>
      </c>
      <c r="H19">
        <v>4</v>
      </c>
      <c r="I19">
        <v>5</v>
      </c>
    </row>
    <row r="20" spans="1:9">
      <c r="A20" s="13" t="s">
        <v>14</v>
      </c>
      <c r="C20">
        <f>IF(C8=0,0,IF(C8=1,E20,IF(C8=2,F20,IF(C8=3,G20,IF(C8=4,H20,I20)))))</f>
        <v>0</v>
      </c>
      <c r="D20" t="s">
        <v>105</v>
      </c>
      <c r="E20">
        <v>-1</v>
      </c>
      <c r="F20">
        <v>-1</v>
      </c>
    </row>
    <row r="21" spans="1:9">
      <c r="A21" s="13"/>
      <c r="C21">
        <f>IF(C8=0,0,IF(C8=1,E21,IF(C8=2,F21,IF(C8=3,G21,IF(C8=4,H21,I21)))))</f>
        <v>0</v>
      </c>
      <c r="D21" t="s">
        <v>107</v>
      </c>
      <c r="E21">
        <v>1</v>
      </c>
      <c r="F21">
        <v>1</v>
      </c>
    </row>
    <row r="22" spans="1:9">
      <c r="A22" s="13"/>
      <c r="C22">
        <f>IF(C8=0,0,IF(C8=1,E22,IF(C8=2,F22,IF(C8=3,G22,IF(C8=4,H22,I22)))))</f>
        <v>0</v>
      </c>
      <c r="D22" t="s">
        <v>112</v>
      </c>
      <c r="F22">
        <v>1</v>
      </c>
    </row>
    <row r="23" spans="1:9">
      <c r="A23" s="14" t="s">
        <v>15</v>
      </c>
      <c r="C23">
        <f>IF(C9=0,0,IF(C9=1,E23,IF(C9=2,F23,IF(C9=3,G23,IF(C9=4,H23,I23)))))</f>
        <v>0</v>
      </c>
      <c r="D23" t="s">
        <v>105</v>
      </c>
      <c r="E23">
        <v>-2</v>
      </c>
      <c r="F23">
        <v>-1</v>
      </c>
      <c r="G23">
        <v>-1</v>
      </c>
    </row>
    <row r="24" spans="1:9">
      <c r="A24" s="14"/>
      <c r="C24">
        <f>IF(C9=0,0,IF(C9=1,E24,IF(C9=2,F24,IF(C9=3,G24,IF(C9=4,H24,I24)))))</f>
        <v>0</v>
      </c>
      <c r="D24" t="s">
        <v>109</v>
      </c>
      <c r="E24">
        <v>1</v>
      </c>
      <c r="F24">
        <v>1</v>
      </c>
      <c r="G24">
        <v>2</v>
      </c>
    </row>
    <row r="26" spans="1:9">
      <c r="A26" t="s">
        <v>94</v>
      </c>
      <c r="B26" t="s">
        <v>113</v>
      </c>
      <c r="C26" t="s">
        <v>116</v>
      </c>
    </row>
    <row r="27" spans="1:9">
      <c r="A27" t="s">
        <v>96</v>
      </c>
      <c r="B27">
        <v>10</v>
      </c>
      <c r="C27">
        <f>C12*B3</f>
        <v>5</v>
      </c>
    </row>
    <row r="28" spans="1:9">
      <c r="A28" t="s">
        <v>98</v>
      </c>
      <c r="B28">
        <v>10</v>
      </c>
      <c r="C28">
        <f>C13*B4+C17*B6</f>
        <v>5</v>
      </c>
    </row>
    <row r="29" spans="1:9">
      <c r="A29" t="s">
        <v>99</v>
      </c>
      <c r="B29">
        <v>0</v>
      </c>
      <c r="C29">
        <f>C14*B4+C15*B5</f>
        <v>0</v>
      </c>
    </row>
    <row r="30" spans="1:9">
      <c r="A30" t="s">
        <v>4</v>
      </c>
      <c r="B30">
        <v>0</v>
      </c>
      <c r="C30">
        <f>C16*B5</f>
        <v>0</v>
      </c>
    </row>
    <row r="31" spans="1:9">
      <c r="A31" t="s">
        <v>5</v>
      </c>
      <c r="B31">
        <v>0</v>
      </c>
      <c r="C31">
        <f>C18*B6</f>
        <v>0</v>
      </c>
    </row>
    <row r="32" spans="1:9">
      <c r="A32" t="s">
        <v>126</v>
      </c>
      <c r="B32">
        <v>0</v>
      </c>
      <c r="C32">
        <f>C19*B7+C20*B8+C23*B9</f>
        <v>0</v>
      </c>
    </row>
    <row r="33" spans="1:3">
      <c r="A33" t="s">
        <v>7</v>
      </c>
      <c r="B33">
        <v>0</v>
      </c>
      <c r="C33">
        <f>C21*B8</f>
        <v>0</v>
      </c>
    </row>
    <row r="34" spans="1:3">
      <c r="A34" t="s">
        <v>112</v>
      </c>
      <c r="B34">
        <v>0</v>
      </c>
      <c r="C34">
        <f>C22*B8</f>
        <v>0</v>
      </c>
    </row>
    <row r="35" spans="1:3">
      <c r="A35" t="s">
        <v>127</v>
      </c>
      <c r="B35">
        <v>0</v>
      </c>
      <c r="C35">
        <f>C24*B9</f>
        <v>0</v>
      </c>
    </row>
  </sheetData>
  <mergeCells count="5">
    <mergeCell ref="A13:A14"/>
    <mergeCell ref="A15:A16"/>
    <mergeCell ref="A17:A18"/>
    <mergeCell ref="A20:A22"/>
    <mergeCell ref="A23:A2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27"/>
  <sheetViews>
    <sheetView workbookViewId="0">
      <selection activeCell="E17" sqref="E17"/>
    </sheetView>
  </sheetViews>
  <sheetFormatPr defaultRowHeight="13.5"/>
  <cols>
    <col min="1" max="1" width="17.125" customWidth="1"/>
    <col min="2" max="3" width="11.75" customWidth="1"/>
    <col min="4" max="4" width="19.125" customWidth="1"/>
    <col min="5" max="5" width="20.125" customWidth="1"/>
    <col min="6" max="6" width="19.75" customWidth="1"/>
    <col min="7" max="7" width="20.375" customWidth="1"/>
    <col min="8" max="8" width="18.75" customWidth="1"/>
    <col min="9" max="9" width="27.125" customWidth="1"/>
  </cols>
  <sheetData>
    <row r="1" spans="1:9">
      <c r="B1" t="s">
        <v>73</v>
      </c>
      <c r="C1" t="s">
        <v>74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s="1" t="s">
        <v>52</v>
      </c>
    </row>
    <row r="2" spans="1:9">
      <c r="A2" s="6" t="s">
        <v>53</v>
      </c>
      <c r="C2">
        <v>0</v>
      </c>
      <c r="D2" s="1" t="s">
        <v>55</v>
      </c>
      <c r="E2" s="1" t="s">
        <v>56</v>
      </c>
      <c r="F2" s="1" t="s">
        <v>56</v>
      </c>
      <c r="G2" s="1" t="s">
        <v>56</v>
      </c>
      <c r="H2" s="1" t="s">
        <v>56</v>
      </c>
      <c r="I2" s="7" t="s">
        <v>54</v>
      </c>
    </row>
    <row r="3" spans="1:9">
      <c r="A3" t="s">
        <v>16</v>
      </c>
      <c r="C3">
        <v>0</v>
      </c>
      <c r="D3" s="1" t="s">
        <v>57</v>
      </c>
      <c r="E3" s="1" t="s">
        <v>58</v>
      </c>
      <c r="F3" s="1" t="s">
        <v>59</v>
      </c>
      <c r="G3" s="1"/>
      <c r="H3" s="1"/>
      <c r="I3" s="9"/>
    </row>
    <row r="4" spans="1:9">
      <c r="A4" t="s">
        <v>17</v>
      </c>
      <c r="C4">
        <v>0</v>
      </c>
      <c r="D4" s="1" t="s">
        <v>60</v>
      </c>
      <c r="E4" s="1" t="s">
        <v>61</v>
      </c>
      <c r="F4" s="1" t="s">
        <v>62</v>
      </c>
      <c r="G4" s="1" t="s">
        <v>63</v>
      </c>
      <c r="H4" s="1" t="s">
        <v>64</v>
      </c>
      <c r="I4" s="9"/>
    </row>
    <row r="5" spans="1:9">
      <c r="A5" t="s">
        <v>18</v>
      </c>
      <c r="C5">
        <v>0</v>
      </c>
      <c r="D5" s="1" t="s">
        <v>65</v>
      </c>
      <c r="E5" s="1" t="s">
        <v>66</v>
      </c>
      <c r="G5" s="1"/>
      <c r="H5" s="1"/>
      <c r="I5" s="9"/>
    </row>
    <row r="6" spans="1:9">
      <c r="A6" t="s">
        <v>19</v>
      </c>
      <c r="C6">
        <v>0</v>
      </c>
      <c r="D6" s="1" t="s">
        <v>67</v>
      </c>
      <c r="E6" s="1" t="s">
        <v>68</v>
      </c>
      <c r="F6" s="1" t="s">
        <v>69</v>
      </c>
      <c r="G6" s="1"/>
      <c r="H6" s="1"/>
      <c r="I6" s="9"/>
    </row>
    <row r="7" spans="1:9">
      <c r="A7" t="s">
        <v>70</v>
      </c>
      <c r="C7">
        <v>0</v>
      </c>
      <c r="D7" s="14" t="s">
        <v>72</v>
      </c>
      <c r="E7" s="14"/>
      <c r="F7" s="14"/>
      <c r="G7" s="14"/>
      <c r="H7" s="14"/>
      <c r="I7" s="9"/>
    </row>
    <row r="8" spans="1:9">
      <c r="A8" t="s">
        <v>71</v>
      </c>
      <c r="C8">
        <v>0</v>
      </c>
      <c r="D8" s="14"/>
      <c r="E8" s="14"/>
      <c r="F8" s="14"/>
      <c r="G8" s="14"/>
      <c r="H8" s="14"/>
      <c r="I8" s="9"/>
    </row>
    <row r="9" spans="1:9">
      <c r="A9" s="9" t="s">
        <v>75</v>
      </c>
      <c r="D9" s="1" t="s">
        <v>77</v>
      </c>
    </row>
    <row r="10" spans="1:9" ht="27">
      <c r="A10" s="9" t="s">
        <v>78</v>
      </c>
      <c r="D10" s="10" t="s">
        <v>79</v>
      </c>
      <c r="I10" s="14" t="s">
        <v>76</v>
      </c>
    </row>
    <row r="11" spans="1:9" ht="27">
      <c r="A11" t="s">
        <v>80</v>
      </c>
      <c r="D11" s="10" t="s">
        <v>81</v>
      </c>
      <c r="I11" s="14"/>
    </row>
    <row r="12" spans="1:9">
      <c r="A12" s="9" t="s">
        <v>82</v>
      </c>
      <c r="D12" s="1" t="s">
        <v>84</v>
      </c>
    </row>
    <row r="13" spans="1:9">
      <c r="A13" s="9" t="s">
        <v>85</v>
      </c>
      <c r="D13" s="1"/>
      <c r="I13" s="1" t="s">
        <v>83</v>
      </c>
    </row>
    <row r="14" spans="1:9">
      <c r="A14" s="9" t="s">
        <v>86</v>
      </c>
      <c r="D14" s="1" t="s">
        <v>88</v>
      </c>
    </row>
    <row r="15" spans="1:9">
      <c r="A15" s="9" t="s">
        <v>89</v>
      </c>
      <c r="C15" s="1"/>
      <c r="I15" s="1" t="s">
        <v>87</v>
      </c>
    </row>
    <row r="16" spans="1:9">
      <c r="A16" s="9"/>
      <c r="C16" s="1"/>
      <c r="I16" s="1" t="s">
        <v>90</v>
      </c>
    </row>
    <row r="17" spans="1:9">
      <c r="A17" s="9" t="s">
        <v>91</v>
      </c>
      <c r="C17" s="1"/>
      <c r="I17" s="1"/>
    </row>
    <row r="18" spans="1:9">
      <c r="I18" s="1" t="s">
        <v>92</v>
      </c>
    </row>
    <row r="27" spans="1:9">
      <c r="E27">
        <v>1</v>
      </c>
    </row>
  </sheetData>
  <mergeCells count="2">
    <mergeCell ref="D7:H8"/>
    <mergeCell ref="I10:I1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4"/>
  <sheetViews>
    <sheetView workbookViewId="0">
      <selection activeCell="B8" sqref="B8"/>
    </sheetView>
  </sheetViews>
  <sheetFormatPr defaultRowHeight="13.5"/>
  <cols>
    <col min="1" max="1" width="12.375" customWidth="1"/>
    <col min="2" max="2" width="25.25" customWidth="1"/>
  </cols>
  <sheetData>
    <row r="1" spans="1:3">
      <c r="A1" s="8" t="s">
        <v>51</v>
      </c>
      <c r="B1" s="8" t="s">
        <v>52</v>
      </c>
      <c r="C1" s="8" t="s">
        <v>117</v>
      </c>
    </row>
    <row r="2" spans="1:3">
      <c r="A2" t="s">
        <v>118</v>
      </c>
      <c r="B2" t="s">
        <v>119</v>
      </c>
      <c r="C2" t="s">
        <v>120</v>
      </c>
    </row>
    <row r="3" spans="1:3">
      <c r="A3" t="s">
        <v>121</v>
      </c>
      <c r="B3" t="s">
        <v>122</v>
      </c>
      <c r="C3" t="s">
        <v>123</v>
      </c>
    </row>
    <row r="4" spans="1:3">
      <c r="A4" t="s">
        <v>12</v>
      </c>
      <c r="B4" t="s">
        <v>124</v>
      </c>
      <c r="C4" t="s">
        <v>125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J23"/>
  <sheetViews>
    <sheetView workbookViewId="0">
      <selection activeCell="A5" sqref="A5:XFD5"/>
    </sheetView>
  </sheetViews>
  <sheetFormatPr defaultRowHeight="13.5"/>
  <sheetData>
    <row r="1" spans="1:10">
      <c r="A1" t="s">
        <v>0</v>
      </c>
      <c r="B1">
        <v>10</v>
      </c>
    </row>
    <row r="3" spans="1:10">
      <c r="A3" s="3" t="s">
        <v>20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</row>
    <row r="5" spans="1:10">
      <c r="A5" t="s">
        <v>9</v>
      </c>
      <c r="B5" s="1">
        <v>6</v>
      </c>
      <c r="C5" s="1"/>
      <c r="D5" s="1"/>
      <c r="E5" s="1"/>
      <c r="F5" s="1"/>
      <c r="G5" s="1"/>
      <c r="H5" s="1"/>
      <c r="I5" s="1"/>
    </row>
    <row r="6" spans="1:10">
      <c r="A6" t="s">
        <v>10</v>
      </c>
      <c r="B6" s="1"/>
      <c r="C6" s="1">
        <v>6</v>
      </c>
      <c r="D6" s="1">
        <v>1</v>
      </c>
      <c r="E6" s="1"/>
      <c r="F6" s="1"/>
      <c r="G6" s="1"/>
      <c r="H6" s="1"/>
      <c r="I6" s="1"/>
    </row>
    <row r="7" spans="1:10">
      <c r="A7" t="s">
        <v>11</v>
      </c>
      <c r="B7" s="1"/>
      <c r="C7" s="1"/>
      <c r="D7" s="1">
        <v>-1</v>
      </c>
      <c r="E7" s="1">
        <v>1</v>
      </c>
      <c r="F7" s="1"/>
      <c r="G7" s="1"/>
      <c r="H7" s="1"/>
      <c r="I7" s="1"/>
    </row>
    <row r="8" spans="1:10">
      <c r="A8" t="s">
        <v>12</v>
      </c>
      <c r="B8" s="1"/>
      <c r="C8" s="1">
        <v>-1</v>
      </c>
      <c r="D8" s="1"/>
      <c r="E8" s="1"/>
      <c r="F8" s="1">
        <v>10</v>
      </c>
      <c r="G8" s="1"/>
      <c r="H8" s="1"/>
      <c r="I8" s="1"/>
    </row>
    <row r="9" spans="1:10">
      <c r="A9" t="s">
        <v>13</v>
      </c>
      <c r="B9" s="1"/>
      <c r="C9" s="1"/>
      <c r="D9" s="1"/>
      <c r="E9" s="1"/>
      <c r="F9" s="1"/>
      <c r="G9" s="1">
        <v>1</v>
      </c>
      <c r="H9" s="1"/>
      <c r="I9" s="1"/>
    </row>
    <row r="10" spans="1:10">
      <c r="A10" t="s">
        <v>14</v>
      </c>
      <c r="B10" s="1"/>
      <c r="C10" s="1"/>
      <c r="D10" s="1"/>
      <c r="E10" s="1"/>
      <c r="F10" s="1"/>
      <c r="G10" s="1">
        <v>-1</v>
      </c>
      <c r="H10" s="1">
        <v>1</v>
      </c>
      <c r="I10" s="1"/>
    </row>
    <row r="11" spans="1:10">
      <c r="A11" t="s">
        <v>15</v>
      </c>
      <c r="B11" s="1"/>
      <c r="C11" s="1"/>
      <c r="D11" s="1"/>
      <c r="E11" s="1"/>
      <c r="F11" s="1"/>
      <c r="G11" s="1">
        <v>-2</v>
      </c>
      <c r="H11" s="1"/>
      <c r="I11" s="1">
        <v>1</v>
      </c>
    </row>
    <row r="12" spans="1:10">
      <c r="B12" s="1"/>
      <c r="C12" s="1"/>
      <c r="D12" s="1"/>
      <c r="E12" s="1"/>
      <c r="F12" s="1"/>
      <c r="G12" s="1"/>
      <c r="H12" s="1"/>
      <c r="I12" s="1"/>
    </row>
    <row r="13" spans="1:10">
      <c r="A13" s="3" t="s">
        <v>21</v>
      </c>
      <c r="B13" s="3"/>
      <c r="C13" s="3"/>
      <c r="D13" s="3"/>
      <c r="E13" s="3"/>
      <c r="F13" s="3"/>
      <c r="G13" s="3"/>
      <c r="H13" s="3"/>
      <c r="I13" s="3"/>
      <c r="J13" s="3"/>
    </row>
    <row r="15" spans="1:10">
      <c r="A15" t="s">
        <v>16</v>
      </c>
      <c r="B15" s="1"/>
      <c r="C15" s="1">
        <v>200</v>
      </c>
    </row>
    <row r="16" spans="1:10">
      <c r="A16" t="s">
        <v>17</v>
      </c>
      <c r="B16" s="1">
        <v>100</v>
      </c>
      <c r="C16" s="1">
        <v>100</v>
      </c>
      <c r="D16" s="1"/>
      <c r="E16" s="1"/>
    </row>
    <row r="17" spans="1:5">
      <c r="A17" t="s">
        <v>18</v>
      </c>
      <c r="B17" s="1">
        <v>200</v>
      </c>
      <c r="C17" s="2">
        <v>100</v>
      </c>
      <c r="D17" s="2"/>
      <c r="E17" s="1"/>
    </row>
    <row r="18" spans="1:5">
      <c r="A18" t="s">
        <v>19</v>
      </c>
      <c r="B18" s="1">
        <v>100</v>
      </c>
      <c r="C18" s="2">
        <v>200</v>
      </c>
      <c r="D18" s="2"/>
      <c r="E18" s="1"/>
    </row>
    <row r="19" spans="1:5">
      <c r="C19" s="1"/>
      <c r="D19" s="2"/>
    </row>
    <row r="20" spans="1:5">
      <c r="C20" s="1"/>
      <c r="D20" s="2"/>
    </row>
    <row r="21" spans="1:5">
      <c r="C21" s="1"/>
      <c r="D21" s="2"/>
    </row>
    <row r="22" spans="1:5">
      <c r="C22" s="1"/>
      <c r="D22" s="2"/>
    </row>
    <row r="23" spans="1:5">
      <c r="C23" s="1"/>
      <c r="D23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分流</vt:lpstr>
      <vt:lpstr>建造</vt:lpstr>
      <vt:lpstr>制作</vt:lpstr>
      <vt:lpstr>收藏</vt:lpstr>
      <vt:lpstr>灵魂</vt:lpstr>
      <vt:lpstr>Sheet1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ops</dc:creator>
  <cp:lastModifiedBy>ops</cp:lastModifiedBy>
  <dcterms:created xsi:type="dcterms:W3CDTF">2017-10-24T01:03:44Z</dcterms:created>
  <dcterms:modified xsi:type="dcterms:W3CDTF">2017-10-25T08:27:18Z</dcterms:modified>
</cp:coreProperties>
</file>